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설정값" sheetId="1" state="visible" r:id="rId3"/>
    <sheet name="실험기록" sheetId="2" state="visible" r:id="rId4"/>
    <sheet name="요약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<sst xmlns="http://schemas.openxmlformats.org/spreadsheetml/2006/main" count="157" uniqueCount="51">
  <si>
    <t xml:space="preserve">실험 기본 설정값</t>
  </si>
  <si>
    <t xml:space="preserve">노란 셀만 수정하세요. 다른 시트 수식이 자동으로 이 값을 참조합니다.</t>
  </si>
  <si>
    <t xml:space="preserve">항목</t>
  </si>
  <si>
    <t xml:space="preserve">값</t>
  </si>
  <si>
    <t xml:space="preserve">비고</t>
  </si>
  <si>
    <t xml:space="preserve">물의 비열 c (J/g°C)</t>
  </si>
  <si>
    <t xml:space="preserve">표준 물리 상수</t>
  </si>
  <si>
    <t xml:space="preserve">가정 화력 P (W)</t>
  </si>
  <si>
    <t xml:space="preserve">실측 평균값 (뚜껑 개방·스테인리스·60초 가열, 5회: 570.5/630/791/777/871.5W). 편차가 커서(약 ±20%) 포스터 오차 고찰에 반드시 언급 권장</t>
  </si>
  <si>
    <t xml:space="preserve">초기 물 온도 (°C)</t>
  </si>
  <si>
    <t xml:space="preserve">35회 실험 전 구간 실측 평균 초기 온도 (정수기 물)</t>
  </si>
  <si>
    <t xml:space="preserve">목표 온도 (°C)</t>
  </si>
  <si>
    <t xml:space="preserve">물의 끓는점(해수면 기준)</t>
  </si>
  <si>
    <t xml:space="preserve">뚜껑 여부</t>
  </si>
  <si>
    <t xml:space="preserve">열림(고정)</t>
  </si>
  <si>
    <t xml:space="preserve">도기 냄비 실험 중 수증기 압력으로 뚜껑이 들썩여, 전 재질 공통으로 뚜껑 개방 조건으로 변경함</t>
  </si>
  <si>
    <t xml:space="preserve">기준 이론값 (물 500ml, 위 조건 기준, 초)</t>
  </si>
  <si>
    <t xml:space="preserve">물 끓는점 도달 시간 — 실험 기록 시트</t>
  </si>
  <si>
    <t xml:space="preserve">노란 칸(측정 소요시간, 육안 끓음 시간, 비고)만 채우세요. 화력 메모는 강불 고정이 기본이며, 다르면 해당 행만 수정하세요. 이론값·오차율은 자동 계산됩니다.</t>
  </si>
  <si>
    <t xml:space="preserve">회차</t>
  </si>
  <si>
    <t xml:space="preserve">실험 그룹</t>
  </si>
  <si>
    <t xml:space="preserve">물의 양(ml)</t>
  </si>
  <si>
    <t xml:space="preserve">냄비 재질</t>
  </si>
  <si>
    <t xml:space="preserve">초기 온도(°C)</t>
  </si>
  <si>
    <t xml:space="preserve">뚜껑</t>
  </si>
  <si>
    <t xml:space="preserve">화력 눈금/사진 메모</t>
  </si>
  <si>
    <t xml:space="preserve">측정 소요시간(초)</t>
  </si>
  <si>
    <t xml:space="preserve">이론값(초)</t>
  </si>
  <si>
    <t xml:space="preserve">오차율(%)</t>
  </si>
  <si>
    <t xml:space="preserve">육안 끓음 시간(초)</t>
  </si>
  <si>
    <t xml:space="preserve">물의 양 실험</t>
  </si>
  <si>
    <t xml:space="preserve">스테인리스</t>
  </si>
  <si>
    <t xml:space="preserve">강불(고정)</t>
  </si>
  <si>
    <t xml:space="preserve">육안 시간 누락</t>
  </si>
  <si>
    <t xml:space="preserve">재질 실험</t>
  </si>
  <si>
    <t xml:space="preserve">알루미늄</t>
  </si>
  <si>
    <t xml:space="preserve">도기</t>
  </si>
  <si>
    <t xml:space="preserve">실험 결과 요약 (데이터 입력 시 자동 계산)</t>
  </si>
  <si>
    <r>
      <rPr>
        <b val="true"/>
        <sz val="10"/>
        <color rgb="FF1F2E35"/>
        <rFont val="Arial"/>
        <family val="0"/>
        <charset val="1"/>
      </rPr>
      <t xml:space="preserve">1. </t>
    </r>
    <r>
      <rPr>
        <b val="true"/>
        <sz val="10"/>
        <color rgb="FF1F2E35"/>
        <rFont val="Noto Sans CJK SC"/>
        <family val="2"/>
      </rPr>
      <t xml:space="preserve">물의 양 → 끓는 시간 회귀분석 </t>
    </r>
    <r>
      <rPr>
        <b val="true"/>
        <sz val="10"/>
        <color rgb="FF1F2E35"/>
        <rFont val="Arial"/>
        <family val="0"/>
        <charset val="1"/>
      </rPr>
      <t xml:space="preserve">(</t>
    </r>
    <r>
      <rPr>
        <b val="true"/>
        <sz val="10"/>
        <color rgb="FF1F2E35"/>
        <rFont val="Noto Sans CJK SC"/>
        <family val="2"/>
      </rPr>
      <t xml:space="preserve">재질</t>
    </r>
    <r>
      <rPr>
        <b val="true"/>
        <sz val="10"/>
        <color rgb="FF1F2E35"/>
        <rFont val="Arial"/>
        <family val="0"/>
        <charset val="1"/>
      </rPr>
      <t xml:space="preserve">: </t>
    </r>
    <r>
      <rPr>
        <b val="true"/>
        <sz val="10"/>
        <color rgb="FF1F2E35"/>
        <rFont val="Noto Sans CJK SC"/>
        <family val="2"/>
      </rPr>
      <t xml:space="preserve">스테인리스 고정</t>
    </r>
    <r>
      <rPr>
        <b val="true"/>
        <sz val="10"/>
        <color rgb="FF1F2E35"/>
        <rFont val="Arial"/>
        <family val="0"/>
        <charset val="1"/>
      </rPr>
      <t xml:space="preserve">, n=20)</t>
    </r>
  </si>
  <si>
    <t xml:space="preserve">기울기 a (시간/ml)</t>
  </si>
  <si>
    <t xml:space="preserve">절편 b (초)</t>
  </si>
  <si>
    <t xml:space="preserve">상관계수 r</t>
  </si>
  <si>
    <t xml:space="preserve">결정계수 R²</t>
  </si>
  <si>
    <t xml:space="preserve">→ 회귀식: y = a×(물의 양) + b   (y = 끓는 시간(초))</t>
  </si>
  <si>
    <r>
      <rPr>
        <b val="true"/>
        <sz val="10"/>
        <color rgb="FF1F2E35"/>
        <rFont val="Arial"/>
        <family val="0"/>
        <charset val="1"/>
      </rPr>
      <t xml:space="preserve">2. </t>
    </r>
    <r>
      <rPr>
        <b val="true"/>
        <sz val="10"/>
        <color rgb="FF1F2E35"/>
        <rFont val="Noto Sans CJK SC"/>
        <family val="2"/>
      </rPr>
      <t xml:space="preserve">냄비 재질별 평균 소요시간 및 보정계수 </t>
    </r>
    <r>
      <rPr>
        <b val="true"/>
        <sz val="10"/>
        <color rgb="FF1F2E35"/>
        <rFont val="Arial"/>
        <family val="0"/>
        <charset val="1"/>
      </rPr>
      <t xml:space="preserve">(</t>
    </r>
    <r>
      <rPr>
        <b val="true"/>
        <sz val="10"/>
        <color rgb="FF1F2E35"/>
        <rFont val="Noto Sans CJK SC"/>
        <family val="2"/>
      </rPr>
      <t xml:space="preserve">물의 양</t>
    </r>
    <r>
      <rPr>
        <b val="true"/>
        <sz val="10"/>
        <color rgb="FF1F2E35"/>
        <rFont val="Arial"/>
        <family val="0"/>
        <charset val="1"/>
      </rPr>
      <t xml:space="preserve">: 500ml </t>
    </r>
    <r>
      <rPr>
        <b val="true"/>
        <sz val="10"/>
        <color rgb="FF1F2E35"/>
        <rFont val="Noto Sans CJK SC"/>
        <family val="2"/>
      </rPr>
      <t xml:space="preserve">고정</t>
    </r>
    <r>
      <rPr>
        <b val="true"/>
        <sz val="10"/>
        <color rgb="FF1F2E35"/>
        <rFont val="Arial"/>
        <family val="0"/>
        <charset val="1"/>
      </rPr>
      <t xml:space="preserve">, n=5 each)</t>
    </r>
  </si>
  <si>
    <t xml:space="preserve">재질</t>
  </si>
  <si>
    <t xml:space="preserve">평균 소요시간(초)</t>
  </si>
  <si>
    <t xml:space="preserve">표준편차</t>
  </si>
  <si>
    <t xml:space="preserve">보정계수(실측/이론)</t>
  </si>
  <si>
    <t xml:space="preserve">보정계수 = 재질별 평균 실측시간 ÷ 설정값 시트의 '기준 이론값(500ml)'</t>
  </si>
  <si>
    <t xml:space="preserve">각 재질당 측정값이 2개 이상 입력되어야 표준편차가 계산됩니다.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</si>
</sst>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General"/>
    <numFmt numFmtId="168" formatCode="0.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F4E"/>
      <name val="Noto Sans CJK SC"/>
      <family val="2"/>
      <charset val="1"/>
    </font>
    <font>
      <i val="true"/>
      <sz val="9"/>
      <color rgb="FF3B6E86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sz val="10"/>
      <color rgb="FF1F2E35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  <charset val="1"/>
    </font>
    <font>
      <b val="true"/>
      <sz val="10"/>
      <color rgb="FF1F2E35"/>
      <name val="Noto Sans CJK SC"/>
      <family val="2"/>
      <charset val="1"/>
    </font>
    <font>
      <b val="true"/>
      <sz val="10"/>
      <color rgb="FF1F3F4E"/>
      <name val="Arial"/>
      <family val="0"/>
      <charset val="1"/>
    </font>
    <font>
      <sz val="10"/>
      <color rgb="FF1F2E35"/>
      <name val="Arial"/>
      <family val="0"/>
      <charset val="1"/>
    </font>
    <font>
      <b val="true"/>
      <sz val="10"/>
      <color rgb="FF1F2E35"/>
      <name val="Arial"/>
      <family val="0"/>
      <charset val="1"/>
    </font>
    <font>
      <b val="true"/>
      <sz val="10"/>
      <color rgb="FF1F2E35"/>
      <name val="Noto Sans CJK SC"/>
      <family val="2"/>
    </font>
    <font>
      <b val="true"/>
      <sz val="10"/>
      <color rgb="FF1F3F4E"/>
      <name val="Noto Sans CJK SC"/>
      <family val="2"/>
      <charset val="1"/>
    </font>
    <font>
      <i val="true"/>
      <sz val="9"/>
      <color rgb="FFC96B3D"/>
      <name val="Noto Sans CJK SC"/>
      <family val="2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B6E86"/>
        <bgColor rgb="FF339966"/>
      </patternFill>
    </fill>
    <fill>
      <patternFill patternType="solid">
        <fgColor rgb="FFFFF9E6"/>
        <bgColor rgb="FFFFFFFF"/>
      </patternFill>
    </fill>
    <fill>
      <patternFill patternType="solid">
        <fgColor rgb="FFF3EEE0"/>
        <bgColor rgb="FFFFF9E6"/>
      </patternFill>
    </fill>
    <fill>
      <patternFill patternType="solid">
        <fgColor rgb="FFE9E1CB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CFB4"/>
      </left>
      <right style="thin">
        <color rgb="FFD8CFB4"/>
      </right>
      <top style="thin">
        <color rgb="FFD8CFB4"/>
      </top>
      <bottom style="thin">
        <color rgb="FFD8CF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3EEE0"/>
      <rgbColor rgb="FFE9E1CB"/>
      <rgbColor rgb="FF99CCFF"/>
      <rgbColor rgb="FFFF99CC"/>
      <rgbColor rgb="FFCC99FF"/>
      <rgbColor rgb="FFD8CFB4"/>
      <rgbColor rgb="FF3366FF"/>
      <rgbColor rgb="FF33CCCC"/>
      <rgbColor rgb="FF99CC00"/>
      <rgbColor rgb="FFFFCC00"/>
      <rgbColor rgb="FFFF9900"/>
      <rgbColor rgb="FFC96B3D"/>
      <rgbColor rgb="FF3B6E86"/>
      <rgbColor rgb="FF969696"/>
      <rgbColor rgb="FF1F3F4E"/>
      <rgbColor rgb="FF339966"/>
      <rgbColor rgb="FF003300"/>
      <rgbColor rgb="FF333300"/>
      <rgbColor rgb="FF993300"/>
      <rgbColor rgb="FF993366"/>
      <rgbColor rgb="FF333399"/>
      <rgbColor rgb="FF1F2E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물의 양(ml) vs 끓는 시간(초) — 실측 데이터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"실측값 (스테인리스, n=20)"</c:f>
              <c:strCache>
                <c:ptCount val="1"/>
                <c:pt idx="0">
                  <c:v>실측값 (스테인리스, n=20)</c:v>
                </c:pt>
              </c:strCache>
            </c:strRef>
          </c:tx>
          <c:spPr>
            <a:solidFill>
              <a:srgbClr val="3b6e86"/>
            </a:solidFill>
            <a:ln w="28440">
              <a:noFill/>
            </a:ln>
          </c:spPr>
          <c:marker>
            <c:symbol val="circle"/>
            <c:size val="6"/>
            <c:spPr>
              <a:solidFill>
                <a:srgbClr val="3b6e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c96b3d"/>
                </a:solidFill>
                <a:prstDash val="dash"/>
                <a:round/>
              </a:ln>
            </c:spPr>
            <c:trendlineType val="linear"/>
            <c:forward val="0"/>
            <c:backward val="0"/>
            <c:dispRSqr val="1"/>
            <c:dispEq val="1"/>
          </c:trendline>
          <c:xVal>
            <c:numRef>
              <c:f>실험기록!$C$5:$C$24</c:f>
              <c:numCache>
                <c:formatCode>General</c:formatCode>
                <c:ptCount val="20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500</c:v>
                </c:pt>
                <c:pt idx="6">
                  <c:v>500</c:v>
                </c:pt>
                <c:pt idx="7">
                  <c:v>500</c:v>
                </c:pt>
                <c:pt idx="8">
                  <c:v>500</c:v>
                </c:pt>
                <c:pt idx="9">
                  <c:v>500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1000</c:v>
                </c:pt>
                <c:pt idx="16">
                  <c:v>1000</c:v>
                </c:pt>
                <c:pt idx="17">
                  <c:v>1000</c:v>
                </c:pt>
                <c:pt idx="18">
                  <c:v>1000</c:v>
                </c:pt>
                <c:pt idx="19">
                  <c:v>1000</c:v>
                </c:pt>
              </c:numCache>
            </c:numRef>
          </c:xVal>
          <c:yVal>
            <c:numRef>
              <c:f>실험기록!$H$5:$H$24</c:f>
              <c:numCache>
                <c:formatCode>General</c:formatCode>
                <c:ptCount val="20"/>
                <c:pt idx="0">
                  <c:v>170.15</c:v>
                </c:pt>
                <c:pt idx="1">
                  <c:v>181.97</c:v>
                </c:pt>
                <c:pt idx="2">
                  <c:v>189.16</c:v>
                </c:pt>
                <c:pt idx="3">
                  <c:v>189.1</c:v>
                </c:pt>
                <c:pt idx="4">
                  <c:v>175.69</c:v>
                </c:pt>
                <c:pt idx="5">
                  <c:v>278.37</c:v>
                </c:pt>
                <c:pt idx="6">
                  <c:v>268.03</c:v>
                </c:pt>
                <c:pt idx="7">
                  <c:v>246.67</c:v>
                </c:pt>
                <c:pt idx="8">
                  <c:v>251</c:v>
                </c:pt>
                <c:pt idx="9">
                  <c:v>250.35</c:v>
                </c:pt>
                <c:pt idx="10">
                  <c:v>309.31</c:v>
                </c:pt>
                <c:pt idx="11">
                  <c:v>311.31</c:v>
                </c:pt>
                <c:pt idx="12">
                  <c:v>321.79</c:v>
                </c:pt>
                <c:pt idx="13">
                  <c:v>312.06</c:v>
                </c:pt>
                <c:pt idx="14">
                  <c:v>305.25</c:v>
                </c:pt>
                <c:pt idx="15">
                  <c:v>353.75</c:v>
                </c:pt>
                <c:pt idx="16">
                  <c:v>340.42</c:v>
                </c:pt>
                <c:pt idx="17">
                  <c:v>420.64</c:v>
                </c:pt>
                <c:pt idx="18">
                  <c:v>400.76</c:v>
                </c:pt>
                <c:pt idx="19">
                  <c:v>419.61</c:v>
                </c:pt>
              </c:numCache>
            </c:numRef>
          </c:yVal>
          <c:smooth val="1"/>
        </c:ser>
        <c:axId val="76631394"/>
        <c:axId val="39974098"/>
      </c:scatterChart>
      <c:valAx>
        <c:axId val="76631394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물의 양 (ml)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974098"/>
        <c:crosses val="autoZero"/>
        <c:crossBetween val="midCat"/>
      </c:valAx>
      <c:valAx>
        <c:axId val="399740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끓는 시간 (초)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63139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냄비 재질별 평균 끓는 시간 (500ml, n=5)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요약!B12</c:f>
              <c:strCache>
                <c:ptCount val="1"/>
                <c:pt idx="0">
                  <c:v>평균 소요시간(초)</c:v>
                </c:pt>
              </c:strCache>
            </c:strRef>
          </c:tx>
          <c:spPr>
            <a:solidFill>
              <a:srgbClr val="3b6e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요약!$A$13:$A$15</c:f>
              <c:strCache>
                <c:ptCount val="3"/>
                <c:pt idx="0">
                  <c:v>스테인리스</c:v>
                </c:pt>
                <c:pt idx="1">
                  <c:v>알루미늄</c:v>
                </c:pt>
                <c:pt idx="2">
                  <c:v>도기</c:v>
                </c:pt>
              </c:strCache>
            </c:strRef>
          </c:cat>
          <c:val>
            <c:numRef>
              <c:f>요약!$B$13:$B$15</c:f>
              <c:numCache>
                <c:formatCode>0.0</c:formatCode>
                <c:ptCount val="3"/>
                <c:pt idx="0">
                  <c:v>244.252</c:v>
                </c:pt>
                <c:pt idx="1">
                  <c:v>266.134</c:v>
                </c:pt>
                <c:pt idx="2">
                  <c:v>516.814</c:v>
                </c:pt>
              </c:numCache>
            </c:numRef>
          </c:val>
        </c:ser>
        <c:gapWidth val="150"/>
        <c:overlap val="0"/>
        <c:axId val="18422187"/>
        <c:axId val="98842186"/>
      </c:barChart>
      <c:catAx>
        <c:axId val="184221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냄비 재질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42186"/>
        <c:crosses val="autoZero"/>
        <c:auto val="1"/>
        <c:lblAlgn val="ctr"/>
        <c:lblOffset val="100"/>
        <c:noMultiLvlLbl val="0"/>
      </c:catAx>
      <c:valAx>
        <c:axId val="988421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평균 소요시간 (초)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4221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255960</xdr:colOff>
      <xdr:row>20</xdr:row>
      <xdr:rowOff>39240</xdr:rowOff>
    </xdr:to>
    <xdr:graphicFrame>
      <xdr:nvGraphicFramePr>
        <xdr:cNvPr id="0" name="Chart 1"/>
        <xdr:cNvGraphicFramePr/>
      </xdr:nvGraphicFramePr>
      <xdr:xfrm>
        <a:off x="6250320" y="6764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14</xdr:col>
      <xdr:colOff>255960</xdr:colOff>
      <xdr:row>40</xdr:row>
      <xdr:rowOff>1080</xdr:rowOff>
    </xdr:to>
    <xdr:graphicFrame>
      <xdr:nvGraphicFramePr>
        <xdr:cNvPr id="1" name="Chart 2"/>
        <xdr:cNvGraphicFramePr/>
      </xdr:nvGraphicFramePr>
      <xdr:xfrm>
        <a:off x="6250320" y="44481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4"/>
    <col collapsed="false" customWidth="true" hidden="false" outlineLevel="0" max="3" min="3" style="1" width="65"/>
  </cols>
  <sheetData>
    <row r="1" customFormat="false" ht="19.5" hidden="false" customHeight="true" outlineLevel="0" collapsed="false">
      <c r="A1" s="2" t="s">
        <v>0</v>
      </c>
      <c r="B1" s="2"/>
      <c r="C1" s="2"/>
    </row>
    <row r="2" customFormat="false" ht="13.5" hidden="false" customHeight="true" outlineLevel="0" collapsed="false">
      <c r="A2" s="3" t="s">
        <v>1</v>
      </c>
      <c r="B2" s="3"/>
      <c r="C2" s="3"/>
    </row>
    <row r="3" customFormat="false" ht="16.5" hidden="false" customHeight="true" outlineLevel="0" collapsed="false">
      <c r="A3" s="4" t="s">
        <v>2</v>
      </c>
      <c r="B3" s="4" t="s">
        <v>3</v>
      </c>
      <c r="C3" s="4" t="s">
        <v>4</v>
      </c>
    </row>
    <row r="4" customFormat="false" ht="15" hidden="false" customHeight="true" outlineLevel="0" collapsed="false">
      <c r="A4" s="5" t="s">
        <v>5</v>
      </c>
      <c r="B4" s="6" t="n">
        <v>4.2</v>
      </c>
      <c r="C4" s="7" t="s">
        <v>6</v>
      </c>
    </row>
    <row r="5" customFormat="false" ht="15" hidden="false" customHeight="true" outlineLevel="0" collapsed="false">
      <c r="A5" s="5" t="s">
        <v>7</v>
      </c>
      <c r="B5" s="6" t="n">
        <v>728</v>
      </c>
      <c r="C5" s="7" t="s">
        <v>8</v>
      </c>
    </row>
    <row r="6" customFormat="false" ht="15" hidden="false" customHeight="true" outlineLevel="0" collapsed="false">
      <c r="A6" s="5" t="s">
        <v>9</v>
      </c>
      <c r="B6" s="6" t="n">
        <v>25.8</v>
      </c>
      <c r="C6" s="7" t="s">
        <v>10</v>
      </c>
    </row>
    <row r="7" customFormat="false" ht="15" hidden="false" customHeight="true" outlineLevel="0" collapsed="false">
      <c r="A7" s="5" t="s">
        <v>11</v>
      </c>
      <c r="B7" s="6" t="n">
        <v>100</v>
      </c>
      <c r="C7" s="7" t="s">
        <v>12</v>
      </c>
    </row>
    <row r="8" customFormat="false" ht="15" hidden="false" customHeight="true" outlineLevel="0" collapsed="false">
      <c r="A8" s="5" t="s">
        <v>13</v>
      </c>
      <c r="B8" s="8" t="s">
        <v>14</v>
      </c>
      <c r="C8" s="7" t="s">
        <v>15</v>
      </c>
    </row>
    <row r="10" customFormat="false" ht="15" hidden="false" customHeight="true" outlineLevel="0" collapsed="false">
      <c r="A10" s="9" t="s">
        <v>16</v>
      </c>
      <c r="B10" s="10" t="n">
        <f aca="false">(B4*500*(B7-B6))/B5</f>
        <v>214.038461538462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12"/>
    <col collapsed="false" customWidth="true" hidden="false" outlineLevel="0" max="10" min="10" style="1" width="10"/>
    <col collapsed="false" customWidth="true" hidden="false" outlineLevel="0" max="12" min="11" style="1" width="16"/>
  </cols>
  <sheetData>
    <row r="1" customFormat="false" ht="19.5" hidden="false" customHeight="true" outlineLevel="0" collapsed="false">
      <c r="A1" s="2" t="s">
        <v>17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3.5" hidden="false" customHeight="true" outlineLevel="0" collapsed="false">
      <c r="A2" s="3" t="s">
        <v>18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9.25" hidden="false" customHeight="true" outlineLevel="0" collapsed="false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4</v>
      </c>
      <c r="L4" s="4" t="s">
        <v>29</v>
      </c>
    </row>
    <row r="5" customFormat="false" ht="15" hidden="false" customHeight="true" outlineLevel="0" collapsed="false">
      <c r="A5" s="11" t="n">
        <v>1</v>
      </c>
      <c r="B5" s="12" t="s">
        <v>30</v>
      </c>
      <c r="C5" s="12" t="n">
        <v>300</v>
      </c>
      <c r="D5" s="12" t="s">
        <v>31</v>
      </c>
      <c r="E5" s="12" t="n">
        <f aca="false">설정값!$B$6</f>
        <v>25.8</v>
      </c>
      <c r="F5" s="12" t="str">
        <f aca="false">설정값!$B$8</f>
        <v>열림(고정)</v>
      </c>
      <c r="G5" s="12" t="s">
        <v>32</v>
      </c>
      <c r="H5" s="13" t="n">
        <v>170.15</v>
      </c>
      <c r="I5" s="14" t="n">
        <f aca="false">IF(C5="","",(설정값!$B$4*C5*(설정값!$B$7-E5))/설정값!$B$5)</f>
        <v>128.423076923077</v>
      </c>
      <c r="J5" s="15" t="n">
        <f aca="false">IF(OR(H5="",I5=""),"",(H5-I5)/I5)</f>
        <v>0.32491764001198</v>
      </c>
      <c r="K5" s="13"/>
      <c r="L5" s="13" t="n">
        <v>149.86</v>
      </c>
    </row>
    <row r="6" customFormat="false" ht="15" hidden="false" customHeight="true" outlineLevel="0" collapsed="false">
      <c r="A6" s="12" t="n">
        <v>2</v>
      </c>
      <c r="B6" s="12" t="s">
        <v>30</v>
      </c>
      <c r="C6" s="12" t="n">
        <v>300</v>
      </c>
      <c r="D6" s="12" t="s">
        <v>31</v>
      </c>
      <c r="E6" s="12" t="n">
        <f aca="false">설정값!$B$6</f>
        <v>25.8</v>
      </c>
      <c r="F6" s="12" t="str">
        <f aca="false">설정값!$B$8</f>
        <v>열림(고정)</v>
      </c>
      <c r="G6" s="12" t="s">
        <v>32</v>
      </c>
      <c r="H6" s="13" t="n">
        <v>181.97</v>
      </c>
      <c r="I6" s="14" t="n">
        <f aca="false">IF(C6="","",(설정값!$B$4*C6*(설정값!$B$7-E6))/설정값!$B$5)</f>
        <v>128.423076923077</v>
      </c>
      <c r="J6" s="15" t="n">
        <f aca="false">IF(OR(H6="",I6=""),"",(H6-I6)/I6)</f>
        <v>0.416957172806229</v>
      </c>
      <c r="K6" s="13"/>
      <c r="L6" s="13" t="n">
        <v>161.47</v>
      </c>
    </row>
    <row r="7" customFormat="false" ht="15" hidden="false" customHeight="true" outlineLevel="0" collapsed="false">
      <c r="A7" s="12" t="n">
        <v>3</v>
      </c>
      <c r="B7" s="12" t="s">
        <v>30</v>
      </c>
      <c r="C7" s="12" t="n">
        <v>300</v>
      </c>
      <c r="D7" s="12" t="s">
        <v>31</v>
      </c>
      <c r="E7" s="12" t="n">
        <f aca="false">설정값!$B$6</f>
        <v>25.8</v>
      </c>
      <c r="F7" s="12" t="str">
        <f aca="false">설정값!$B$8</f>
        <v>열림(고정)</v>
      </c>
      <c r="G7" s="12" t="s">
        <v>32</v>
      </c>
      <c r="H7" s="13" t="n">
        <v>189.16</v>
      </c>
      <c r="I7" s="14" t="n">
        <f aca="false">IF(C7="","",(설정값!$B$4*C7*(설정값!$B$7-E7))/설정값!$B$5)</f>
        <v>128.423076923077</v>
      </c>
      <c r="J7" s="15" t="n">
        <f aca="false">IF(OR(H7="",I7=""),"",(H7-I7)/I7)</f>
        <v>0.472943995208146</v>
      </c>
      <c r="K7" s="13"/>
      <c r="L7" s="13" t="n">
        <v>166.15</v>
      </c>
    </row>
    <row r="8" customFormat="false" ht="15" hidden="false" customHeight="true" outlineLevel="0" collapsed="false">
      <c r="A8" s="12" t="n">
        <v>4</v>
      </c>
      <c r="B8" s="12" t="s">
        <v>30</v>
      </c>
      <c r="C8" s="12" t="n">
        <v>300</v>
      </c>
      <c r="D8" s="12" t="s">
        <v>31</v>
      </c>
      <c r="E8" s="12" t="n">
        <f aca="false">설정값!$B$6</f>
        <v>25.8</v>
      </c>
      <c r="F8" s="12" t="str">
        <f aca="false">설정값!$B$8</f>
        <v>열림(고정)</v>
      </c>
      <c r="G8" s="12" t="s">
        <v>32</v>
      </c>
      <c r="H8" s="13" t="n">
        <v>189.1</v>
      </c>
      <c r="I8" s="14" t="n">
        <f aca="false">IF(C8="","",(설정값!$B$4*C8*(설정값!$B$7-E8))/설정값!$B$5)</f>
        <v>128.423076923077</v>
      </c>
      <c r="J8" s="15" t="n">
        <f aca="false">IF(OR(H8="",I8=""),"",(H8-I8)/I8)</f>
        <v>0.472476789457921</v>
      </c>
      <c r="K8" s="13"/>
      <c r="L8" s="13" t="n">
        <v>159.63</v>
      </c>
    </row>
    <row r="9" customFormat="false" ht="15" hidden="false" customHeight="true" outlineLevel="0" collapsed="false">
      <c r="A9" s="12" t="n">
        <v>5</v>
      </c>
      <c r="B9" s="12" t="s">
        <v>30</v>
      </c>
      <c r="C9" s="12" t="n">
        <v>300</v>
      </c>
      <c r="D9" s="12" t="s">
        <v>31</v>
      </c>
      <c r="E9" s="12" t="n">
        <f aca="false">설정값!$B$6</f>
        <v>25.8</v>
      </c>
      <c r="F9" s="12" t="str">
        <f aca="false">설정값!$B$8</f>
        <v>열림(고정)</v>
      </c>
      <c r="G9" s="12" t="s">
        <v>32</v>
      </c>
      <c r="H9" s="13" t="n">
        <v>175.69</v>
      </c>
      <c r="I9" s="14" t="n">
        <f aca="false">IF(C9="","",(설정값!$B$4*C9*(설정값!$B$7-E9))/설정값!$B$5)</f>
        <v>128.423076923077</v>
      </c>
      <c r="J9" s="15" t="n">
        <f aca="false">IF(OR(H9="",I9=""),"",(H9-I9)/I9)</f>
        <v>0.368056304282719</v>
      </c>
      <c r="K9" s="13"/>
      <c r="L9" s="13" t="n">
        <v>159.3</v>
      </c>
    </row>
    <row r="10" customFormat="false" ht="15" hidden="false" customHeight="true" outlineLevel="0" collapsed="false">
      <c r="A10" s="12" t="n">
        <v>6</v>
      </c>
      <c r="B10" s="12" t="s">
        <v>30</v>
      </c>
      <c r="C10" s="12" t="n">
        <v>500</v>
      </c>
      <c r="D10" s="12" t="s">
        <v>31</v>
      </c>
      <c r="E10" s="12" t="n">
        <f aca="false">설정값!$B$6</f>
        <v>25.8</v>
      </c>
      <c r="F10" s="12" t="str">
        <f aca="false">설정값!$B$8</f>
        <v>열림(고정)</v>
      </c>
      <c r="G10" s="12" t="s">
        <v>32</v>
      </c>
      <c r="H10" s="13" t="n">
        <v>278.37</v>
      </c>
      <c r="I10" s="14" t="n">
        <f aca="false">IF(C10="","",(설정값!$B$4*C10*(설정값!$B$7-E10))/설정값!$B$5)</f>
        <v>214.038461538462</v>
      </c>
      <c r="J10" s="15" t="n">
        <f aca="false">IF(OR(H10="",I10=""),"",(H10-I10)/I10)</f>
        <v>0.30056064690027</v>
      </c>
      <c r="K10" s="13"/>
      <c r="L10" s="13" t="n">
        <v>231.3</v>
      </c>
    </row>
    <row r="11" customFormat="false" ht="15" hidden="false" customHeight="true" outlineLevel="0" collapsed="false">
      <c r="A11" s="12" t="n">
        <v>7</v>
      </c>
      <c r="B11" s="12" t="s">
        <v>30</v>
      </c>
      <c r="C11" s="12" t="n">
        <v>500</v>
      </c>
      <c r="D11" s="12" t="s">
        <v>31</v>
      </c>
      <c r="E11" s="12" t="n">
        <f aca="false">설정값!$B$6</f>
        <v>25.8</v>
      </c>
      <c r="F11" s="12" t="str">
        <f aca="false">설정값!$B$8</f>
        <v>열림(고정)</v>
      </c>
      <c r="G11" s="12" t="s">
        <v>32</v>
      </c>
      <c r="H11" s="13" t="n">
        <v>268.03</v>
      </c>
      <c r="I11" s="14" t="n">
        <f aca="false">IF(C11="","",(설정값!$B$4*C11*(설정값!$B$7-E11))/설정값!$B$5)</f>
        <v>214.038461538462</v>
      </c>
      <c r="J11" s="15" t="n">
        <f aca="false">IF(OR(H11="",I11=""),"",(H11-I11)/I11)</f>
        <v>0.252251572327044</v>
      </c>
      <c r="K11" s="13"/>
      <c r="L11" s="13" t="n">
        <v>237.07</v>
      </c>
    </row>
    <row r="12" customFormat="false" ht="15" hidden="false" customHeight="true" outlineLevel="0" collapsed="false">
      <c r="A12" s="12" t="n">
        <v>8</v>
      </c>
      <c r="B12" s="12" t="s">
        <v>30</v>
      </c>
      <c r="C12" s="12" t="n">
        <v>500</v>
      </c>
      <c r="D12" s="12" t="s">
        <v>31</v>
      </c>
      <c r="E12" s="12" t="n">
        <f aca="false">설정값!$B$6</f>
        <v>25.8</v>
      </c>
      <c r="F12" s="12" t="str">
        <f aca="false">설정값!$B$8</f>
        <v>열림(고정)</v>
      </c>
      <c r="G12" s="12" t="s">
        <v>32</v>
      </c>
      <c r="H12" s="13" t="n">
        <v>246.67</v>
      </c>
      <c r="I12" s="14" t="n">
        <f aca="false">IF(C12="","",(설정값!$B$4*C12*(설정값!$B$7-E12))/설정값!$B$5)</f>
        <v>214.038461538462</v>
      </c>
      <c r="J12" s="15" t="n">
        <f aca="false">IF(OR(H12="",I12=""),"",(H12-I12)/I12)</f>
        <v>0.152456424079065</v>
      </c>
      <c r="K12" s="13"/>
      <c r="L12" s="13" t="n">
        <v>219.78</v>
      </c>
    </row>
    <row r="13" customFormat="false" ht="15" hidden="false" customHeight="true" outlineLevel="0" collapsed="false">
      <c r="A13" s="12" t="n">
        <v>9</v>
      </c>
      <c r="B13" s="12" t="s">
        <v>30</v>
      </c>
      <c r="C13" s="12" t="n">
        <v>500</v>
      </c>
      <c r="D13" s="12" t="s">
        <v>31</v>
      </c>
      <c r="E13" s="12" t="n">
        <f aca="false">설정값!$B$6</f>
        <v>25.8</v>
      </c>
      <c r="F13" s="12" t="str">
        <f aca="false">설정값!$B$8</f>
        <v>열림(고정)</v>
      </c>
      <c r="G13" s="12" t="s">
        <v>32</v>
      </c>
      <c r="H13" s="13" t="n">
        <v>251</v>
      </c>
      <c r="I13" s="14" t="n">
        <f aca="false">IF(C13="","",(설정값!$B$4*C13*(설정값!$B$7-E13))/설정값!$B$5)</f>
        <v>214.038461538462</v>
      </c>
      <c r="J13" s="15" t="n">
        <f aca="false">IF(OR(H13="",I13=""),"",(H13-I13)/I13)</f>
        <v>0.172686433063792</v>
      </c>
      <c r="K13" s="13"/>
      <c r="L13" s="13" t="n">
        <v>230.07</v>
      </c>
    </row>
    <row r="14" customFormat="false" ht="15" hidden="false" customHeight="true" outlineLevel="0" collapsed="false">
      <c r="A14" s="12" t="n">
        <v>10</v>
      </c>
      <c r="B14" s="12" t="s">
        <v>30</v>
      </c>
      <c r="C14" s="12" t="n">
        <v>500</v>
      </c>
      <c r="D14" s="12" t="s">
        <v>31</v>
      </c>
      <c r="E14" s="12" t="n">
        <f aca="false">설정값!$B$6</f>
        <v>25.8</v>
      </c>
      <c r="F14" s="12" t="str">
        <f aca="false">설정값!$B$8</f>
        <v>열림(고정)</v>
      </c>
      <c r="G14" s="12" t="s">
        <v>32</v>
      </c>
      <c r="H14" s="13" t="n">
        <v>250.35</v>
      </c>
      <c r="I14" s="14" t="n">
        <f aca="false">IF(C14="","",(설정값!$B$4*C14*(설정값!$B$7-E14))/설정값!$B$5)</f>
        <v>214.038461538462</v>
      </c>
      <c r="J14" s="15" t="n">
        <f aca="false">IF(OR(H14="",I14=""),"",(H14-I14)/I14)</f>
        <v>0.169649595687331</v>
      </c>
      <c r="K14" s="13"/>
      <c r="L14" s="13" t="n">
        <v>230.43</v>
      </c>
    </row>
    <row r="15" customFormat="false" ht="15" hidden="false" customHeight="true" outlineLevel="0" collapsed="false">
      <c r="A15" s="12" t="n">
        <v>11</v>
      </c>
      <c r="B15" s="12" t="s">
        <v>30</v>
      </c>
      <c r="C15" s="12" t="n">
        <v>700</v>
      </c>
      <c r="D15" s="12" t="s">
        <v>31</v>
      </c>
      <c r="E15" s="12" t="n">
        <f aca="false">설정값!$B$6</f>
        <v>25.8</v>
      </c>
      <c r="F15" s="12" t="str">
        <f aca="false">설정값!$B$8</f>
        <v>열림(고정)</v>
      </c>
      <c r="G15" s="12" t="s">
        <v>32</v>
      </c>
      <c r="H15" s="13" t="n">
        <v>309.31</v>
      </c>
      <c r="I15" s="14" t="n">
        <f aca="false">IF(C15="","",(설정값!$B$4*C15*(설정값!$B$7-E15))/설정값!$B$5)</f>
        <v>299.653846153846</v>
      </c>
      <c r="J15" s="15" t="n">
        <f aca="false">IF(OR(H15="",I15=""),"",(H15-I15)/I15)</f>
        <v>0.0322243614426904</v>
      </c>
      <c r="K15" s="13"/>
      <c r="L15" s="13" t="n">
        <v>297.18</v>
      </c>
    </row>
    <row r="16" customFormat="false" ht="15" hidden="false" customHeight="true" outlineLevel="0" collapsed="false">
      <c r="A16" s="12" t="n">
        <v>12</v>
      </c>
      <c r="B16" s="12" t="s">
        <v>30</v>
      </c>
      <c r="C16" s="12" t="n">
        <v>700</v>
      </c>
      <c r="D16" s="12" t="s">
        <v>31</v>
      </c>
      <c r="E16" s="12" t="n">
        <f aca="false">설정값!$B$6</f>
        <v>25.8</v>
      </c>
      <c r="F16" s="12" t="str">
        <f aca="false">설정값!$B$8</f>
        <v>열림(고정)</v>
      </c>
      <c r="G16" s="12" t="s">
        <v>32</v>
      </c>
      <c r="H16" s="13" t="n">
        <v>311.31</v>
      </c>
      <c r="I16" s="14" t="n">
        <f aca="false">IF(C16="","",(설정값!$B$4*C16*(설정값!$B$7-E16))/설정값!$B$5)</f>
        <v>299.653846153846</v>
      </c>
      <c r="J16" s="15" t="n">
        <f aca="false">IF(OR(H16="",I16=""),"",(H16-I16)/I16)</f>
        <v>0.0388987293030421</v>
      </c>
      <c r="K16" s="13"/>
      <c r="L16" s="13" t="n">
        <v>293.23</v>
      </c>
    </row>
    <row r="17" customFormat="false" ht="15" hidden="false" customHeight="true" outlineLevel="0" collapsed="false">
      <c r="A17" s="12" t="n">
        <v>13</v>
      </c>
      <c r="B17" s="12" t="s">
        <v>30</v>
      </c>
      <c r="C17" s="12" t="n">
        <v>700</v>
      </c>
      <c r="D17" s="12" t="s">
        <v>31</v>
      </c>
      <c r="E17" s="12" t="n">
        <f aca="false">설정값!$B$6</f>
        <v>25.8</v>
      </c>
      <c r="F17" s="12" t="str">
        <f aca="false">설정값!$B$8</f>
        <v>열림(고정)</v>
      </c>
      <c r="G17" s="12" t="s">
        <v>32</v>
      </c>
      <c r="H17" s="13" t="n">
        <v>321.79</v>
      </c>
      <c r="I17" s="14" t="n">
        <f aca="false">IF(C17="","",(설정값!$B$4*C17*(설정값!$B$7-E17))/설정값!$B$5)</f>
        <v>299.653846153846</v>
      </c>
      <c r="J17" s="15" t="n">
        <f aca="false">IF(OR(H17="",I17=""),"",(H17-I17)/I17)</f>
        <v>0.073872416891285</v>
      </c>
      <c r="K17" s="13"/>
      <c r="L17" s="13" t="n">
        <v>304.93</v>
      </c>
    </row>
    <row r="18" customFormat="false" ht="15" hidden="false" customHeight="true" outlineLevel="0" collapsed="false">
      <c r="A18" s="12" t="n">
        <v>14</v>
      </c>
      <c r="B18" s="12" t="s">
        <v>30</v>
      </c>
      <c r="C18" s="12" t="n">
        <v>700</v>
      </c>
      <c r="D18" s="12" t="s">
        <v>31</v>
      </c>
      <c r="E18" s="12" t="n">
        <f aca="false">설정값!$B$6</f>
        <v>25.8</v>
      </c>
      <c r="F18" s="12" t="str">
        <f aca="false">설정값!$B$8</f>
        <v>열림(고정)</v>
      </c>
      <c r="G18" s="12" t="s">
        <v>32</v>
      </c>
      <c r="H18" s="13" t="n">
        <v>312.06</v>
      </c>
      <c r="I18" s="14" t="n">
        <f aca="false">IF(C18="","",(설정값!$B$4*C18*(설정값!$B$7-E18))/설정값!$B$5)</f>
        <v>299.653846153846</v>
      </c>
      <c r="J18" s="15" t="n">
        <f aca="false">IF(OR(H18="",I18=""),"",(H18-I18)/I18)</f>
        <v>0.0414016172506739</v>
      </c>
      <c r="K18" s="13"/>
      <c r="L18" s="13" t="n">
        <v>300.42</v>
      </c>
    </row>
    <row r="19" customFormat="false" ht="15" hidden="false" customHeight="true" outlineLevel="0" collapsed="false">
      <c r="A19" s="12" t="n">
        <v>15</v>
      </c>
      <c r="B19" s="12" t="s">
        <v>30</v>
      </c>
      <c r="C19" s="12" t="n">
        <v>700</v>
      </c>
      <c r="D19" s="12" t="s">
        <v>31</v>
      </c>
      <c r="E19" s="12" t="n">
        <f aca="false">설정값!$B$6</f>
        <v>25.8</v>
      </c>
      <c r="F19" s="12" t="str">
        <f aca="false">설정값!$B$8</f>
        <v>열림(고정)</v>
      </c>
      <c r="G19" s="12" t="s">
        <v>32</v>
      </c>
      <c r="H19" s="13" t="n">
        <v>305.25</v>
      </c>
      <c r="I19" s="14" t="n">
        <f aca="false">IF(C19="","",(설정값!$B$4*C19*(설정값!$B$7-E19))/설정값!$B$5)</f>
        <v>299.653846153846</v>
      </c>
      <c r="J19" s="15" t="n">
        <f aca="false">IF(OR(H19="",I19=""),"",(H19-I19)/I19)</f>
        <v>0.0186753946861764</v>
      </c>
      <c r="K19" s="13"/>
      <c r="L19" s="13" t="n">
        <v>298.12</v>
      </c>
    </row>
    <row r="20" customFormat="false" ht="15" hidden="false" customHeight="true" outlineLevel="0" collapsed="false">
      <c r="A20" s="12" t="n">
        <v>16</v>
      </c>
      <c r="B20" s="12" t="s">
        <v>30</v>
      </c>
      <c r="C20" s="12" t="n">
        <v>1000</v>
      </c>
      <c r="D20" s="12" t="s">
        <v>31</v>
      </c>
      <c r="E20" s="12" t="n">
        <f aca="false">설정값!$B$6</f>
        <v>25.8</v>
      </c>
      <c r="F20" s="12" t="str">
        <f aca="false">설정값!$B$8</f>
        <v>열림(고정)</v>
      </c>
      <c r="G20" s="12" t="s">
        <v>32</v>
      </c>
      <c r="H20" s="13" t="n">
        <v>353.75</v>
      </c>
      <c r="I20" s="14" t="n">
        <f aca="false">IF(C20="","",(설정값!$B$4*C20*(설정값!$B$7-E20))/설정값!$B$5)</f>
        <v>428.076923076923</v>
      </c>
      <c r="J20" s="15" t="n">
        <f aca="false">IF(OR(H20="",I20=""),"",(H20-I20)/I20)</f>
        <v>-0.173629829290207</v>
      </c>
      <c r="K20" s="16" t="s">
        <v>33</v>
      </c>
      <c r="L20" s="13"/>
    </row>
    <row r="21" customFormat="false" ht="15" hidden="false" customHeight="true" outlineLevel="0" collapsed="false">
      <c r="A21" s="12" t="n">
        <v>17</v>
      </c>
      <c r="B21" s="12" t="s">
        <v>30</v>
      </c>
      <c r="C21" s="12" t="n">
        <v>1000</v>
      </c>
      <c r="D21" s="12" t="s">
        <v>31</v>
      </c>
      <c r="E21" s="12" t="n">
        <f aca="false">설정값!$B$6</f>
        <v>25.8</v>
      </c>
      <c r="F21" s="12" t="str">
        <f aca="false">설정값!$B$8</f>
        <v>열림(고정)</v>
      </c>
      <c r="G21" s="12" t="s">
        <v>32</v>
      </c>
      <c r="H21" s="13" t="n">
        <v>340.42</v>
      </c>
      <c r="I21" s="14" t="n">
        <f aca="false">IF(C21="","",(설정값!$B$4*C21*(설정값!$B$7-E21))/설정값!$B$5)</f>
        <v>428.076923076923</v>
      </c>
      <c r="J21" s="15" t="n">
        <f aca="false">IF(OR(H21="",I21=""),"",(H21-I21)/I21)</f>
        <v>-0.204769092542677</v>
      </c>
      <c r="K21" s="13"/>
      <c r="L21" s="13" t="n">
        <v>324.83</v>
      </c>
    </row>
    <row r="22" customFormat="false" ht="15" hidden="false" customHeight="true" outlineLevel="0" collapsed="false">
      <c r="A22" s="12" t="n">
        <v>18</v>
      </c>
      <c r="B22" s="12" t="s">
        <v>30</v>
      </c>
      <c r="C22" s="12" t="n">
        <v>1000</v>
      </c>
      <c r="D22" s="12" t="s">
        <v>31</v>
      </c>
      <c r="E22" s="12" t="n">
        <f aca="false">설정값!$B$6</f>
        <v>25.8</v>
      </c>
      <c r="F22" s="12" t="str">
        <f aca="false">설정값!$B$8</f>
        <v>열림(고정)</v>
      </c>
      <c r="G22" s="12" t="s">
        <v>32</v>
      </c>
      <c r="H22" s="13" t="n">
        <v>420.64</v>
      </c>
      <c r="I22" s="14" t="n">
        <f aca="false">IF(C22="","",(설정값!$B$4*C22*(설정값!$B$7-E22))/설정값!$B$5)</f>
        <v>428.076923076923</v>
      </c>
      <c r="J22" s="15" t="n">
        <f aca="false">IF(OR(H22="",I22=""),"",(H22-I22)/I22)</f>
        <v>-0.0173728661275832</v>
      </c>
      <c r="K22" s="16" t="s">
        <v>33</v>
      </c>
      <c r="L22" s="13"/>
    </row>
    <row r="23" customFormat="false" ht="15" hidden="false" customHeight="true" outlineLevel="0" collapsed="false">
      <c r="A23" s="12" t="n">
        <v>19</v>
      </c>
      <c r="B23" s="12" t="s">
        <v>30</v>
      </c>
      <c r="C23" s="12" t="n">
        <v>1000</v>
      </c>
      <c r="D23" s="12" t="s">
        <v>31</v>
      </c>
      <c r="E23" s="12" t="n">
        <f aca="false">설정값!$B$6</f>
        <v>25.8</v>
      </c>
      <c r="F23" s="12" t="str">
        <f aca="false">설정값!$B$8</f>
        <v>열림(고정)</v>
      </c>
      <c r="G23" s="12" t="s">
        <v>32</v>
      </c>
      <c r="H23" s="13" t="n">
        <v>400.76</v>
      </c>
      <c r="I23" s="14" t="n">
        <f aca="false">IF(C23="","",(설정값!$B$4*C23*(설정값!$B$7-E23))/설정값!$B$5)</f>
        <v>428.076923076923</v>
      </c>
      <c r="J23" s="15" t="n">
        <f aca="false">IF(OR(H23="",I23=""),"",(H23-I23)/I23)</f>
        <v>-0.0638131176999102</v>
      </c>
      <c r="K23" s="13"/>
      <c r="L23" s="13" t="n">
        <v>387.76</v>
      </c>
    </row>
    <row r="24" customFormat="false" ht="15" hidden="false" customHeight="true" outlineLevel="0" collapsed="false">
      <c r="A24" s="12" t="n">
        <v>20</v>
      </c>
      <c r="B24" s="12" t="s">
        <v>30</v>
      </c>
      <c r="C24" s="12" t="n">
        <v>1000</v>
      </c>
      <c r="D24" s="12" t="s">
        <v>31</v>
      </c>
      <c r="E24" s="12" t="n">
        <f aca="false">설정값!$B$6</f>
        <v>25.8</v>
      </c>
      <c r="F24" s="12" t="str">
        <f aca="false">설정값!$B$8</f>
        <v>열림(고정)</v>
      </c>
      <c r="G24" s="12" t="s">
        <v>32</v>
      </c>
      <c r="H24" s="13" t="n">
        <v>419.61</v>
      </c>
      <c r="I24" s="14" t="n">
        <f aca="false">IF(C24="","",(설정값!$B$4*C24*(설정값!$B$7-E24))/설정값!$B$5)</f>
        <v>428.076923076923</v>
      </c>
      <c r="J24" s="15" t="n">
        <f aca="false">IF(OR(H24="",I24=""),"",(H24-I24)/I24)</f>
        <v>-0.0197789757412399</v>
      </c>
      <c r="K24" s="13"/>
      <c r="L24" s="13" t="n">
        <v>398.7</v>
      </c>
    </row>
    <row r="25" customFormat="false" ht="15" hidden="false" customHeight="true" outlineLevel="0" collapsed="false">
      <c r="A25" s="17" t="n">
        <v>21</v>
      </c>
      <c r="B25" s="18" t="s">
        <v>34</v>
      </c>
      <c r="C25" s="18" t="n">
        <v>500</v>
      </c>
      <c r="D25" s="18" t="s">
        <v>31</v>
      </c>
      <c r="E25" s="18" t="n">
        <f aca="false">설정값!$B$6</f>
        <v>25.8</v>
      </c>
      <c r="F25" s="18" t="str">
        <f aca="false">설정값!$B$8</f>
        <v>열림(고정)</v>
      </c>
      <c r="G25" s="18" t="s">
        <v>32</v>
      </c>
      <c r="H25" s="13" t="n">
        <v>240.32</v>
      </c>
      <c r="I25" s="19" t="n">
        <f aca="false">IF(C25="","",(설정값!$B$4*C25*(설정값!$B$7-E25))/설정값!$B$5)</f>
        <v>214.038461538462</v>
      </c>
      <c r="J25" s="20" t="n">
        <f aca="false">IF(OR(H25="",I25=""),"",(H25-I25)/I25)</f>
        <v>0.122788858939802</v>
      </c>
      <c r="K25" s="13"/>
      <c r="L25" s="13" t="n">
        <v>206.48</v>
      </c>
    </row>
    <row r="26" customFormat="false" ht="15" hidden="false" customHeight="true" outlineLevel="0" collapsed="false">
      <c r="A26" s="18" t="n">
        <v>22</v>
      </c>
      <c r="B26" s="18" t="s">
        <v>34</v>
      </c>
      <c r="C26" s="18" t="n">
        <v>500</v>
      </c>
      <c r="D26" s="18" t="s">
        <v>35</v>
      </c>
      <c r="E26" s="18" t="n">
        <f aca="false">설정값!$B$6</f>
        <v>25.8</v>
      </c>
      <c r="F26" s="18" t="str">
        <f aca="false">설정값!$B$8</f>
        <v>열림(고정)</v>
      </c>
      <c r="G26" s="18" t="s">
        <v>32</v>
      </c>
      <c r="H26" s="13" t="n">
        <v>291.58</v>
      </c>
      <c r="I26" s="19" t="n">
        <f aca="false">IF(C26="","",(설정값!$B$4*C26*(설정값!$B$7-E26))/설정값!$B$5)</f>
        <v>214.038461538462</v>
      </c>
      <c r="J26" s="20" t="n">
        <f aca="false">IF(OR(H26="",I26=""),"",(H26-I26)/I26)</f>
        <v>0.362278526504941</v>
      </c>
      <c r="K26" s="13"/>
      <c r="L26" s="13" t="n">
        <v>235.8</v>
      </c>
    </row>
    <row r="27" customFormat="false" ht="15" hidden="false" customHeight="true" outlineLevel="0" collapsed="false">
      <c r="A27" s="18" t="n">
        <v>23</v>
      </c>
      <c r="B27" s="18" t="s">
        <v>34</v>
      </c>
      <c r="C27" s="18" t="n">
        <v>500</v>
      </c>
      <c r="D27" s="18" t="s">
        <v>36</v>
      </c>
      <c r="E27" s="18" t="n">
        <f aca="false">설정값!$B$6</f>
        <v>25.8</v>
      </c>
      <c r="F27" s="18" t="str">
        <f aca="false">설정값!$B$8</f>
        <v>열림(고정)</v>
      </c>
      <c r="G27" s="18" t="s">
        <v>32</v>
      </c>
      <c r="H27" s="13" t="n">
        <v>501.78</v>
      </c>
      <c r="I27" s="19" t="n">
        <f aca="false">IF(C27="","",(설정값!$B$4*C27*(설정값!$B$7-E27))/설정값!$B$5)</f>
        <v>214.038461538462</v>
      </c>
      <c r="J27" s="20" t="n">
        <f aca="false">IF(OR(H27="",I27=""),"",(H27-I27)/I27)</f>
        <v>1.34434501347709</v>
      </c>
      <c r="K27" s="13"/>
      <c r="L27" s="13" t="n">
        <v>467.99</v>
      </c>
    </row>
    <row r="28" customFormat="false" ht="15" hidden="false" customHeight="true" outlineLevel="0" collapsed="false">
      <c r="A28" s="18" t="n">
        <v>24</v>
      </c>
      <c r="B28" s="18" t="s">
        <v>34</v>
      </c>
      <c r="C28" s="18" t="n">
        <v>500</v>
      </c>
      <c r="D28" s="18" t="s">
        <v>35</v>
      </c>
      <c r="E28" s="18" t="n">
        <f aca="false">설정값!$B$6</f>
        <v>25.8</v>
      </c>
      <c r="F28" s="18" t="str">
        <f aca="false">설정값!$B$8</f>
        <v>열림(고정)</v>
      </c>
      <c r="G28" s="18" t="s">
        <v>32</v>
      </c>
      <c r="H28" s="13" t="n">
        <v>253.76</v>
      </c>
      <c r="I28" s="19" t="n">
        <f aca="false">IF(C28="","",(설정값!$B$4*C28*(설정값!$B$7-E28))/설정값!$B$5)</f>
        <v>214.038461538462</v>
      </c>
      <c r="J28" s="20" t="n">
        <f aca="false">IF(OR(H28="",I28=""),"",(H28-I28)/I28)</f>
        <v>0.185581311769991</v>
      </c>
      <c r="K28" s="13"/>
      <c r="L28" s="13" t="n">
        <v>230.04</v>
      </c>
    </row>
    <row r="29" customFormat="false" ht="15" hidden="false" customHeight="true" outlineLevel="0" collapsed="false">
      <c r="A29" s="18" t="n">
        <v>25</v>
      </c>
      <c r="B29" s="18" t="s">
        <v>34</v>
      </c>
      <c r="C29" s="18" t="n">
        <v>500</v>
      </c>
      <c r="D29" s="18" t="s">
        <v>36</v>
      </c>
      <c r="E29" s="18" t="n">
        <f aca="false">설정값!$B$6</f>
        <v>25.8</v>
      </c>
      <c r="F29" s="18" t="str">
        <f aca="false">설정값!$B$8</f>
        <v>열림(고정)</v>
      </c>
      <c r="G29" s="18" t="s">
        <v>32</v>
      </c>
      <c r="H29" s="13" t="n">
        <v>511.72</v>
      </c>
      <c r="I29" s="19" t="n">
        <f aca="false">IF(C29="","",(설정값!$B$4*C29*(설정값!$B$7-E29))/설정값!$B$5)</f>
        <v>214.038461538462</v>
      </c>
      <c r="J29" s="20" t="n">
        <f aca="false">IF(OR(H29="",I29=""),"",(H29-I29)/I29)</f>
        <v>1.39078526504942</v>
      </c>
      <c r="K29" s="13"/>
      <c r="L29" s="13" t="n">
        <v>464.96</v>
      </c>
    </row>
    <row r="30" customFormat="false" ht="15" hidden="false" customHeight="true" outlineLevel="0" collapsed="false">
      <c r="A30" s="18" t="n">
        <v>26</v>
      </c>
      <c r="B30" s="18" t="s">
        <v>34</v>
      </c>
      <c r="C30" s="18" t="n">
        <v>500</v>
      </c>
      <c r="D30" s="18" t="s">
        <v>31</v>
      </c>
      <c r="E30" s="18" t="n">
        <f aca="false">설정값!$B$6</f>
        <v>25.8</v>
      </c>
      <c r="F30" s="18" t="str">
        <f aca="false">설정값!$B$8</f>
        <v>열림(고정)</v>
      </c>
      <c r="G30" s="18" t="s">
        <v>32</v>
      </c>
      <c r="H30" s="13" t="n">
        <v>244</v>
      </c>
      <c r="I30" s="19" t="n">
        <f aca="false">IF(C30="","",(설정값!$B$4*C30*(설정값!$B$7-E30))/설정값!$B$5)</f>
        <v>214.038461538462</v>
      </c>
      <c r="J30" s="20" t="n">
        <f aca="false">IF(OR(H30="",I30=""),"",(H30-I30)/I30)</f>
        <v>0.139982030548068</v>
      </c>
      <c r="K30" s="16" t="s">
        <v>33</v>
      </c>
      <c r="L30" s="13"/>
    </row>
    <row r="31" customFormat="false" ht="15" hidden="false" customHeight="true" outlineLevel="0" collapsed="false">
      <c r="A31" s="18" t="n">
        <v>27</v>
      </c>
      <c r="B31" s="18" t="s">
        <v>34</v>
      </c>
      <c r="C31" s="18" t="n">
        <v>500</v>
      </c>
      <c r="D31" s="18" t="s">
        <v>36</v>
      </c>
      <c r="E31" s="18" t="n">
        <f aca="false">설정값!$B$6</f>
        <v>25.8</v>
      </c>
      <c r="F31" s="18" t="str">
        <f aca="false">설정값!$B$8</f>
        <v>열림(고정)</v>
      </c>
      <c r="G31" s="18" t="s">
        <v>32</v>
      </c>
      <c r="H31" s="13" t="n">
        <v>536.77</v>
      </c>
      <c r="I31" s="19" t="n">
        <f aca="false">IF(C31="","",(설정값!$B$4*C31*(설정값!$B$7-E31))/설정값!$B$5)</f>
        <v>214.038461538462</v>
      </c>
      <c r="J31" s="20" t="n">
        <f aca="false">IF(OR(H31="",I31=""),"",(H31-I31)/I31)</f>
        <v>1.50782030548068</v>
      </c>
      <c r="K31" s="13"/>
      <c r="L31" s="13" t="n">
        <v>505.02</v>
      </c>
    </row>
    <row r="32" customFormat="false" ht="15" hidden="false" customHeight="true" outlineLevel="0" collapsed="false">
      <c r="A32" s="18" t="n">
        <v>28</v>
      </c>
      <c r="B32" s="18" t="s">
        <v>34</v>
      </c>
      <c r="C32" s="18" t="n">
        <v>500</v>
      </c>
      <c r="D32" s="18" t="s">
        <v>31</v>
      </c>
      <c r="E32" s="18" t="n">
        <f aca="false">설정값!$B$6</f>
        <v>25.8</v>
      </c>
      <c r="F32" s="18" t="str">
        <f aca="false">설정값!$B$8</f>
        <v>열림(고정)</v>
      </c>
      <c r="G32" s="18" t="s">
        <v>32</v>
      </c>
      <c r="H32" s="13" t="n">
        <v>244.96</v>
      </c>
      <c r="I32" s="19" t="n">
        <f aca="false">IF(C32="","",(설정값!$B$4*C32*(설정값!$B$7-E32))/설정값!$B$5)</f>
        <v>214.038461538462</v>
      </c>
      <c r="J32" s="20" t="n">
        <f aca="false">IF(OR(H32="",I32=""),"",(H32-I32)/I32)</f>
        <v>0.144467205750225</v>
      </c>
      <c r="K32" s="13"/>
      <c r="L32" s="13" t="n">
        <v>230.17</v>
      </c>
    </row>
    <row r="33" customFormat="false" ht="15" hidden="false" customHeight="true" outlineLevel="0" collapsed="false">
      <c r="A33" s="18" t="n">
        <v>29</v>
      </c>
      <c r="B33" s="18" t="s">
        <v>34</v>
      </c>
      <c r="C33" s="18" t="n">
        <v>500</v>
      </c>
      <c r="D33" s="18" t="s">
        <v>35</v>
      </c>
      <c r="E33" s="18" t="n">
        <f aca="false">설정값!$B$6</f>
        <v>25.8</v>
      </c>
      <c r="F33" s="18" t="str">
        <f aca="false">설정값!$B$8</f>
        <v>열림(고정)</v>
      </c>
      <c r="G33" s="18" t="s">
        <v>32</v>
      </c>
      <c r="H33" s="13" t="n">
        <v>253.73</v>
      </c>
      <c r="I33" s="19" t="n">
        <f aca="false">IF(C33="","",(설정값!$B$4*C33*(설정값!$B$7-E33))/설정값!$B$5)</f>
        <v>214.038461538462</v>
      </c>
      <c r="J33" s="20" t="n">
        <f aca="false">IF(OR(H33="",I33=""),"",(H33-I33)/I33)</f>
        <v>0.185441150044924</v>
      </c>
      <c r="K33" s="13"/>
      <c r="L33" s="13" t="n">
        <v>222.04</v>
      </c>
    </row>
    <row r="34" customFormat="false" ht="15" hidden="false" customHeight="true" outlineLevel="0" collapsed="false">
      <c r="A34" s="18" t="n">
        <v>30</v>
      </c>
      <c r="B34" s="18" t="s">
        <v>34</v>
      </c>
      <c r="C34" s="18" t="n">
        <v>500</v>
      </c>
      <c r="D34" s="18" t="s">
        <v>31</v>
      </c>
      <c r="E34" s="18" t="n">
        <f aca="false">설정값!$B$6</f>
        <v>25.8</v>
      </c>
      <c r="F34" s="18" t="str">
        <f aca="false">설정값!$B$8</f>
        <v>열림(고정)</v>
      </c>
      <c r="G34" s="18" t="s">
        <v>32</v>
      </c>
      <c r="H34" s="13" t="n">
        <v>259</v>
      </c>
      <c r="I34" s="19" t="n">
        <f aca="false">IF(C34="","",(설정값!$B$4*C34*(설정값!$B$7-E34))/설정값!$B$5)</f>
        <v>214.038461538462</v>
      </c>
      <c r="J34" s="20" t="n">
        <f aca="false">IF(OR(H34="",I34=""),"",(H34-I34)/I34)</f>
        <v>0.210062893081761</v>
      </c>
      <c r="K34" s="13"/>
      <c r="L34" s="13" t="n">
        <v>246.52</v>
      </c>
    </row>
    <row r="35" customFormat="false" ht="15" hidden="false" customHeight="true" outlineLevel="0" collapsed="false">
      <c r="A35" s="18" t="n">
        <v>31</v>
      </c>
      <c r="B35" s="18" t="s">
        <v>34</v>
      </c>
      <c r="C35" s="18" t="n">
        <v>500</v>
      </c>
      <c r="D35" s="18" t="s">
        <v>35</v>
      </c>
      <c r="E35" s="18" t="n">
        <f aca="false">설정값!$B$6</f>
        <v>25.8</v>
      </c>
      <c r="F35" s="18" t="str">
        <f aca="false">설정값!$B$8</f>
        <v>열림(고정)</v>
      </c>
      <c r="G35" s="18" t="s">
        <v>32</v>
      </c>
      <c r="H35" s="13" t="n">
        <v>270.95</v>
      </c>
      <c r="I35" s="19" t="n">
        <f aca="false">IF(C35="","",(설정값!$B$4*C35*(설정값!$B$7-E35))/설정값!$B$5)</f>
        <v>214.038461538462</v>
      </c>
      <c r="J35" s="20" t="n">
        <f aca="false">IF(OR(H35="",I35=""),"",(H35-I35)/I35)</f>
        <v>0.265893980233603</v>
      </c>
      <c r="K35" s="13"/>
      <c r="L35" s="13" t="n">
        <v>231.27</v>
      </c>
    </row>
    <row r="36" customFormat="false" ht="15" hidden="false" customHeight="true" outlineLevel="0" collapsed="false">
      <c r="A36" s="18" t="n">
        <v>32</v>
      </c>
      <c r="B36" s="18" t="s">
        <v>34</v>
      </c>
      <c r="C36" s="18" t="n">
        <v>500</v>
      </c>
      <c r="D36" s="18" t="s">
        <v>36</v>
      </c>
      <c r="E36" s="18" t="n">
        <f aca="false">설정값!$B$6</f>
        <v>25.8</v>
      </c>
      <c r="F36" s="18" t="str">
        <f aca="false">설정값!$B$8</f>
        <v>열림(고정)</v>
      </c>
      <c r="G36" s="18" t="s">
        <v>32</v>
      </c>
      <c r="H36" s="13" t="n">
        <v>520.17</v>
      </c>
      <c r="I36" s="19" t="n">
        <f aca="false">IF(C36="","",(설정값!$B$4*C36*(설정값!$B$7-E36))/설정값!$B$5)</f>
        <v>214.038461538462</v>
      </c>
      <c r="J36" s="20" t="n">
        <f aca="false">IF(OR(H36="",I36=""),"",(H36-I36)/I36)</f>
        <v>1.4302641509434</v>
      </c>
      <c r="K36" s="13"/>
      <c r="L36" s="13" t="n">
        <v>502.18</v>
      </c>
    </row>
    <row r="37" customFormat="false" ht="15" hidden="false" customHeight="true" outlineLevel="0" collapsed="false">
      <c r="A37" s="18" t="n">
        <v>33</v>
      </c>
      <c r="B37" s="18" t="s">
        <v>34</v>
      </c>
      <c r="C37" s="18" t="n">
        <v>500</v>
      </c>
      <c r="D37" s="18" t="s">
        <v>35</v>
      </c>
      <c r="E37" s="18" t="n">
        <f aca="false">설정값!$B$6</f>
        <v>25.8</v>
      </c>
      <c r="F37" s="18" t="str">
        <f aca="false">설정값!$B$8</f>
        <v>열림(고정)</v>
      </c>
      <c r="G37" s="18" t="s">
        <v>32</v>
      </c>
      <c r="H37" s="13" t="n">
        <v>260.65</v>
      </c>
      <c r="I37" s="19" t="n">
        <f aca="false">IF(C37="","",(설정값!$B$4*C37*(설정값!$B$7-E37))/설정값!$B$5)</f>
        <v>214.038461538462</v>
      </c>
      <c r="J37" s="20" t="n">
        <f aca="false">IF(OR(H37="",I37=""),"",(H37-I37)/I37)</f>
        <v>0.217771787960467</v>
      </c>
      <c r="K37" s="13"/>
      <c r="L37" s="13" t="n">
        <v>223.42</v>
      </c>
    </row>
    <row r="38" customFormat="false" ht="15" hidden="false" customHeight="true" outlineLevel="0" collapsed="false">
      <c r="A38" s="18" t="n">
        <v>34</v>
      </c>
      <c r="B38" s="18" t="s">
        <v>34</v>
      </c>
      <c r="C38" s="18" t="n">
        <v>500</v>
      </c>
      <c r="D38" s="18" t="s">
        <v>36</v>
      </c>
      <c r="E38" s="18" t="n">
        <f aca="false">설정값!$B$6</f>
        <v>25.8</v>
      </c>
      <c r="F38" s="18" t="str">
        <f aca="false">설정값!$B$8</f>
        <v>열림(고정)</v>
      </c>
      <c r="G38" s="18" t="s">
        <v>32</v>
      </c>
      <c r="H38" s="13" t="n">
        <v>513.63</v>
      </c>
      <c r="I38" s="19" t="n">
        <f aca="false">IF(C38="","",(설정값!$B$4*C38*(설정값!$B$7-E38))/설정값!$B$5)</f>
        <v>214.038461538462</v>
      </c>
      <c r="J38" s="20" t="n">
        <f aca="false">IF(OR(H38="",I38=""),"",(H38-I38)/I38)</f>
        <v>1.39970889487871</v>
      </c>
      <c r="K38" s="16" t="s">
        <v>33</v>
      </c>
      <c r="L38" s="13"/>
    </row>
    <row r="39" customFormat="false" ht="15" hidden="false" customHeight="true" outlineLevel="0" collapsed="false">
      <c r="A39" s="18" t="n">
        <v>35</v>
      </c>
      <c r="B39" s="18" t="s">
        <v>34</v>
      </c>
      <c r="C39" s="18" t="n">
        <v>500</v>
      </c>
      <c r="D39" s="18" t="s">
        <v>31</v>
      </c>
      <c r="E39" s="18" t="n">
        <f aca="false">설정값!$B$6</f>
        <v>25.8</v>
      </c>
      <c r="F39" s="18" t="str">
        <f aca="false">설정값!$B$8</f>
        <v>열림(고정)</v>
      </c>
      <c r="G39" s="18" t="s">
        <v>32</v>
      </c>
      <c r="H39" s="13" t="n">
        <v>232.98</v>
      </c>
      <c r="I39" s="19" t="n">
        <f aca="false">IF(C39="","",(설정값!$B$4*C39*(설정값!$B$7-E39))/설정값!$B$5)</f>
        <v>214.038461538462</v>
      </c>
      <c r="J39" s="20" t="n">
        <f aca="false">IF(OR(H39="",I39=""),"",(H39-I39)/I39)</f>
        <v>0.0884959568733153</v>
      </c>
      <c r="K39" s="13"/>
      <c r="L39" s="13" t="n">
        <v>220.22</v>
      </c>
    </row>
  </sheetData>
  <mergeCells count="2">
    <mergeCell ref="A1:K1"/>
    <mergeCell ref="A2:K2"/>
  </mergeCells>
  <dataValidations count="1">
    <dataValidation allowBlank="false" errorStyle="stop" operator="between" showDropDown="false" showErrorMessage="false" showInputMessage="false" sqref="D25:D39" type="list">
      <formula1>"스테인리스,알루미늄,도기"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20"/>
  </cols>
  <sheetData>
    <row r="1" customFormat="false" ht="23.25" hidden="false" customHeight="true" outlineLevel="0" collapsed="false">
      <c r="A1" s="2" t="s">
        <v>37</v>
      </c>
      <c r="B1" s="2"/>
      <c r="C1" s="2"/>
      <c r="D1" s="2"/>
    </row>
    <row r="3" customFormat="false" ht="15" hidden="false" customHeight="true" outlineLevel="0" collapsed="false">
      <c r="A3" s="21" t="s">
        <v>38</v>
      </c>
      <c r="B3" s="21"/>
      <c r="C3" s="21"/>
      <c r="D3" s="21"/>
    </row>
    <row r="4" customFormat="false" ht="15" hidden="false" customHeight="true" outlineLevel="0" collapsed="false">
      <c r="A4" s="5" t="s">
        <v>39</v>
      </c>
      <c r="B4" s="22" t="n">
        <f aca="false">IFERROR(SLOPE(실험기록!$H$5:$H$24,실험기록!$C$5:$C$24),"데이터 입력 후 자동계산")</f>
        <v>0.288894392523364</v>
      </c>
    </row>
    <row r="5" customFormat="false" ht="15" hidden="false" customHeight="true" outlineLevel="0" collapsed="false">
      <c r="A5" s="5" t="s">
        <v>40</v>
      </c>
      <c r="B5" s="22" t="n">
        <f aca="false">IFERROR(INTERCEPT(실험기록!$H$5:$H$24,실험기록!$C$5:$C$24),"데이터 입력 후 자동계산")</f>
        <v>104.210504672897</v>
      </c>
    </row>
    <row r="6" customFormat="false" ht="15" hidden="false" customHeight="true" outlineLevel="0" collapsed="false">
      <c r="A6" s="5" t="s">
        <v>41</v>
      </c>
      <c r="B6" s="22" t="n">
        <f aca="false">IFERROR(CORREL(실험기록!$H$5:$H$24,실험기록!$C$5:$C$24),"데이터 입력 후 자동계산")</f>
        <v>0.965335619424365</v>
      </c>
    </row>
    <row r="7" customFormat="false" ht="15" hidden="false" customHeight="true" outlineLevel="0" collapsed="false">
      <c r="A7" s="5" t="s">
        <v>42</v>
      </c>
      <c r="B7" s="22" t="n">
        <f aca="false">IFERROR(RSQ(실험기록!$H$5:$H$24,실험기록!$C$5:$C$24),"데이터 입력 후 자동계산")</f>
        <v>0.931872858129423</v>
      </c>
    </row>
    <row r="9" customFormat="false" ht="13.5" hidden="false" customHeight="true" outlineLevel="0" collapsed="false">
      <c r="A9" s="3" t="s">
        <v>43</v>
      </c>
      <c r="B9" s="3"/>
      <c r="C9" s="3"/>
      <c r="D9" s="3"/>
    </row>
    <row r="11" customFormat="false" ht="15" hidden="false" customHeight="true" outlineLevel="0" collapsed="false">
      <c r="A11" s="21" t="s">
        <v>44</v>
      </c>
      <c r="B11" s="21"/>
      <c r="C11" s="21"/>
      <c r="D11" s="21"/>
    </row>
    <row r="12" customFormat="false" ht="16.5" hidden="false" customHeight="true" outlineLevel="0" collapsed="false">
      <c r="A12" s="4" t="s">
        <v>45</v>
      </c>
      <c r="B12" s="4" t="s">
        <v>46</v>
      </c>
      <c r="C12" s="4" t="s">
        <v>47</v>
      </c>
      <c r="D12" s="4" t="s">
        <v>48</v>
      </c>
    </row>
    <row r="13" customFormat="false" ht="15" hidden="false" customHeight="true" outlineLevel="0" collapsed="false">
      <c r="A13" s="5" t="s">
        <v>31</v>
      </c>
      <c r="B13" s="23" t="n">
        <f aca="false">IFERROR(AVERAGEIFS(실험기록!$H$25:$H$39,실험기록!$D$25:$D$39,"스테인리스"),"")</f>
        <v>244.252</v>
      </c>
      <c r="C13" s="23" t="n">
        <f aca="false">IF(COUNTIFS(실험기록!$D$25:$D$39,"스테인리스",실험기록!$H$25:$H$39,"&lt;&gt;")&lt;2,"",SQRT(SUMPRODUCT((실험기록!$D$25:$D$39="스테인리스")*(실험기록!$H$25:$H$39&lt;&gt;"")*(실험기록!$H$25:$H$39-B13)^2)/(COUNTIFS(실험기록!$D$25:$D$39,"스테인리스",실험기록!$H$25:$H$39,"&lt;&gt;")-1)))</f>
        <v>9.4945626544881</v>
      </c>
      <c r="D13" s="24" t="n">
        <f aca="false">IFERROR(B13/설정값!$B$10,"")</f>
        <v>1.14115938903863</v>
      </c>
    </row>
    <row r="14" customFormat="false" ht="15" hidden="false" customHeight="true" outlineLevel="0" collapsed="false">
      <c r="A14" s="5" t="s">
        <v>35</v>
      </c>
      <c r="B14" s="23" t="n">
        <f aca="false">IFERROR(AVERAGEIFS(실험기록!$H$25:$H$39,실험기록!$D$25:$D$39,"알루미늄"),"")</f>
        <v>266.134</v>
      </c>
      <c r="C14" s="23" t="n">
        <f aca="false">IF(COUNTIFS(실험기록!$D$25:$D$39,"알루미늄",실험기록!$H$25:$H$39,"&lt;&gt;")&lt;2,"",SQRT(SUMPRODUCT((실험기록!$D$25:$D$39="알루미늄")*(실험기록!$H$25:$H$39&lt;&gt;"")*(실험기록!$H$25:$H$39-B14)^2)/(COUNTIFS(실험기록!$D$25:$D$39,"알루미늄",실험기록!$H$25:$H$39,"&lt;&gt;")-1)))</f>
        <v>15.872477122365</v>
      </c>
      <c r="D14" s="24" t="n">
        <f aca="false">IFERROR(B14/설정값!$B$10,"")</f>
        <v>1.24339335130279</v>
      </c>
    </row>
    <row r="15" customFormat="false" ht="15" hidden="false" customHeight="true" outlineLevel="0" collapsed="false">
      <c r="A15" s="5" t="s">
        <v>36</v>
      </c>
      <c r="B15" s="23" t="n">
        <f aca="false">IFERROR(AVERAGEIFS(실험기록!$H$25:$H$39,실험기록!$D$25:$D$39,"도기"),"")</f>
        <v>516.814</v>
      </c>
      <c r="C15" s="23" t="n">
        <f aca="false">IF(COUNTIFS(실험기록!$D$25:$D$39,"도기",실험기록!$H$25:$H$39,"&lt;&gt;")&lt;2,"",SQRT(SUMPRODUCT((실험기록!$D$25:$D$39="도기")*(실험기록!$H$25:$H$39&lt;&gt;"")*(실험기록!$H$25:$H$39-B15)^2)/(COUNTIFS(실험기록!$D$25:$D$39,"도기",실험기록!$H$25:$H$39,"&lt;&gt;")-1)))</f>
        <v>12.9577440166103</v>
      </c>
      <c r="D15" s="24" t="n">
        <f aca="false">IFERROR(B15/설정값!$B$10,"")</f>
        <v>2.41458472596586</v>
      </c>
    </row>
    <row r="17" customFormat="false" ht="13.5" hidden="false" customHeight="true" outlineLevel="0" collapsed="false">
      <c r="A17" s="3" t="s">
        <v>49</v>
      </c>
      <c r="B17" s="3"/>
      <c r="C17" s="3"/>
      <c r="D17" s="3"/>
    </row>
    <row r="19" customFormat="false" ht="13.5" hidden="false" customHeight="true" outlineLevel="0" collapsed="false">
      <c r="A19" s="25" t="s">
        <v>50</v>
      </c>
      <c r="B19" s="25"/>
      <c r="C19" s="25"/>
      <c r="D19" s="25"/>
    </row>
  </sheetData>
  <mergeCells count="6">
    <mergeCell ref="A1:D1"/>
    <mergeCell ref="A3:D3"/>
    <mergeCell ref="A9:D9"/>
    <mergeCell ref="A11:D11"/>
    <mergeCell ref="A17:D17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2026-07-12T02:39:28Z</dcterms:created>
  <dc:creator>openpyxl</dc:creator>
  <dc:description/>
  <dc:language>en-US</dc:language>
  <cp:lastModifiedBy/>
  <dcterms:modified xsi:type="dcterms:W3CDTF">2026-07-12T17:08:39Z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